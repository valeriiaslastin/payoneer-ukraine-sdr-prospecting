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CP" sheetId="2" state="visible" r:id="rId4"/>
    <sheet name="Target Accounts (Ukraine)" sheetId="3" state="visible" r:id="rId5"/>
    <sheet name="Lead Scoring Model" sheetId="4" state="visible" r:id="rId6"/>
    <sheet name="Outreach Sequence (EN)" sheetId="5" state="visible" r:id="rId7"/>
    <sheet name="Outreach Sequence (UA)" sheetId="6" state="visible" r:id="rId8"/>
    <sheet name="Mock CRM Pipeline" sheetId="7" state="visible" r:id="rId9"/>
    <sheet name="Methodology &amp; Cavea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<sst xmlns="http://schemas.openxmlformats.org/spreadsheetml/2006/main" count="285" uniqueCount="214">
  <si>
    <t xml:space="preserve">Payoneer — Ukraine Market Entry: SDR Prospecting &amp; Outreach Playbook</t>
  </si>
  <si>
    <t xml:space="preserve">Author: Valeriia Slastin</t>
  </si>
  <si>
    <t xml:space="preserve">Type: Independent, self-directed project — not affiliated with or commissioned by Payoneer.</t>
  </si>
  <si>
    <t xml:space="preserve">PURPOSE</t>
  </si>
  <si>
    <t xml:space="preserve">This workbook demonstrates the research, lead-scoring, and outreach workflow a Sales Development</t>
  </si>
  <si>
    <t xml:space="preserve">Representative (SDR) targeting Ukrainian and CEE small/medium businesses for Payoneer would</t>
  </si>
  <si>
    <t xml:space="preserve">realistically build before their first day. It is a portfolio piece, built to show initiative and a working</t>
  </si>
  <si>
    <t xml:space="preserve">knowledge of SDR prospecting methodology — not a real Payoneer business asset.</t>
  </si>
  <si>
    <t xml:space="preserve">WHY THIS MARKET</t>
  </si>
  <si>
    <t xml:space="preserve">Ukraine has a large, internationally-billing IT services and e-commerce sector (companies invoicing</t>
  </si>
  <si>
    <t xml:space="preserve">clients in USD/EUR, needing fast multi-currency accounts). Unlike several competitors that require</t>
  </si>
  <si>
    <t xml:space="preserve">an EU-registered entity, Payoneer is directly accessible to Ukrainian-registered companies and is</t>
  </si>
  <si>
    <t xml:space="preserve">actively marketed by Payoneer itself to this exact segment — making it a realistic, verifiable target</t>
  </si>
  <si>
    <t xml:space="preserve">for Ukrainian-language SDR outreach.</t>
  </si>
  <si>
    <t xml:space="preserve">SHEETS IN THIS WORKBOOK</t>
  </si>
  <si>
    <t xml:space="preserve">1. README — this page.</t>
  </si>
  <si>
    <t xml:space="preserve">2. ICP (Ideal Customer Profile) — defines the target company profile and why.</t>
  </si>
  <si>
    <t xml:space="preserve">3. Target Accounts (Ukraine) — 15 real, named Ukrainian companies researched against the ICP.</t>
  </si>
  <si>
    <t xml:space="preserve">4. Lead Scoring Model — weighting logic and scoring formulas used in the Target Accounts sheet.</t>
  </si>
  <si>
    <t xml:space="preserve">5. Outreach Sequence (EN) — 4-touch cold email + LinkedIn cadence.</t>
  </si>
  <si>
    <t xml:space="preserve">6. Outreach Sequence (UA) — culturally adapted, not machine-translated, version of the same cadence.</t>
  </si>
  <si>
    <t xml:space="preserve">7. Mock CRM Pipeline — illustrative pipeline stages and sample conversion assumptions.</t>
  </si>
  <si>
    <t xml:space="preserve">8. Methodology &amp; Caveats — what is verified vs. estimated, and how estimates were derived.</t>
  </si>
  <si>
    <t xml:space="preserve">DATA HONESTY NOTE</t>
  </si>
  <si>
    <t xml:space="preserve">Company names, industries, and websites are real and independently verifiable. Employee counts,</t>
  </si>
  <si>
    <t xml:space="preserve">revenue, and fit scores are researcher estimates based on public information and are clearly labelled</t>
  </si>
  <si>
    <t xml:space="preserve">as such — see the Methodology tab before treating any figure here as confirmed.</t>
  </si>
  <si>
    <t xml:space="preserve">Ideal Customer Profile (ICP) — Payoneer, Ukraine Segment</t>
  </si>
  <si>
    <t xml:space="preserve">Criterion</t>
  </si>
  <si>
    <t xml:space="preserve">Definition</t>
  </si>
  <si>
    <t xml:space="preserve">Company size</t>
  </si>
  <si>
    <t xml:space="preserve">10–250 employees (SME to lower mid-market). Small enough to decide fast without a long procurement cycle; large enough to have real multi-currency payment volume.</t>
  </si>
  <si>
    <t xml:space="preserve">Industry</t>
  </si>
  <si>
    <t xml:space="preserve">IT services / software outsourcing, e-commerce, and export-oriented tech (hardware or SaaS). These sectors bill or pay international clients/suppliers routinely.</t>
  </si>
  <si>
    <t xml:space="preserve">Pain point</t>
  </si>
  <si>
    <t xml:space="preserve">Slow, costly international transfers and FX conversion through traditional Ukrainian banks; need for fast USD/EUR/GBP business accounts and card issuing for a distributed or remote team.</t>
  </si>
  <si>
    <t xml:space="preserve">Buying trigger</t>
  </si>
  <si>
    <t xml:space="preserve">Recent international client win, active USD/EUR invoicing, or a recently opened EU-facing office/subsidiary.</t>
  </si>
  <si>
    <t xml:space="preserve">Decision maker</t>
  </si>
  <si>
    <t xml:space="preserve">Founder/CEO (smaller firms) or Finance Director / Head of Operations (larger firms in the list).</t>
  </si>
  <si>
    <t xml:space="preserve">Geography</t>
  </si>
  <si>
    <t xml:space="preserve">Ukraine, primarily Kyiv and Lviv tech hubs — the two largest IT services clusters.</t>
  </si>
  <si>
    <t xml:space="preserve">Language angle</t>
  </si>
  <si>
    <t xml:space="preserve">Ukrainian fluency used for outreach; positions the SDR to build trust faster than an English-only cold approach, directly relevant to engaging Ukrainian-market business owners in their own language.</t>
  </si>
  <si>
    <t xml:space="preserve">Company</t>
  </si>
  <si>
    <t xml:space="preserve">City</t>
  </si>
  <si>
    <t xml:space="preserve">Est. Employees</t>
  </si>
  <si>
    <t xml:space="preserve">Website</t>
  </si>
  <si>
    <t xml:space="preserve">Why It Fits the ICP</t>
  </si>
  <si>
    <t xml:space="preserve">Company Size Fit (1-5)</t>
  </si>
  <si>
    <t xml:space="preserve">Industry Fit (1-5)</t>
  </si>
  <si>
    <t xml:space="preserve">Cross-Border Need (1-5)</t>
  </si>
  <si>
    <t xml:space="preserve">Digital Maturity (1-5)</t>
  </si>
  <si>
    <t xml:space="preserve">Weighted Score (0-100)</t>
  </si>
  <si>
    <t xml:space="preserve">Data Confidence (1-5)</t>
  </si>
  <si>
    <t xml:space="preserve">SoftServe</t>
  </si>
  <si>
    <t xml:space="preserve">IT Services / Software Outsourcing</t>
  </si>
  <si>
    <t xml:space="preserve">Lviv</t>
  </si>
  <si>
    <t xml:space="preserve">~4,000+ (enterprise scale — benchmark, not core ICP)</t>
  </si>
  <si>
    <t xml:space="preserve">softserveinc.com</t>
  </si>
  <si>
    <t xml:space="preserve">Major Ukrainian IT outsourcing firm billing international (largely US) clients in USD; illustrative of the sector, oversized for core SME ICP.</t>
  </si>
  <si>
    <t xml:space="preserve">N-iX</t>
  </si>
  <si>
    <t xml:space="preserve">~2,000 (enterprise scale — benchmark, not core ICP)</t>
  </si>
  <si>
    <t xml:space="preserve">n-ix.com</t>
  </si>
  <si>
    <t xml:space="preserve">Large Ukrainian outsourcing company with international clients across Europe and the US; oversized for core SME ICP but a known, credible name.</t>
  </si>
  <si>
    <t xml:space="preserve">Ajax Systems</t>
  </si>
  <si>
    <t xml:space="preserve">Security Tech Hardware (Export)</t>
  </si>
  <si>
    <t xml:space="preserve">Kyiv</t>
  </si>
  <si>
    <t xml:space="preserve">~1,500 (scale-up)</t>
  </si>
  <si>
    <t xml:space="preserve">ajax.systems</t>
  </si>
  <si>
    <t xml:space="preserve">Ukrainian-made security hardware exported globally; strong cross-border payment and FX need, though larger than core SME band.</t>
  </si>
  <si>
    <t xml:space="preserve">Vchasno</t>
  </si>
  <si>
    <t xml:space="preserve">B2B SaaS (Document Exchange)</t>
  </si>
  <si>
    <t xml:space="preserve">~100-250 (estimate)</t>
  </si>
  <si>
    <t xml:space="preserve">vchasno.ua</t>
  </si>
  <si>
    <t xml:space="preserve">Fast-growing Ukrainian B2B SaaS platform; digitizing supply chains implies openness to modern fintech tools.</t>
  </si>
  <si>
    <t xml:space="preserve">Nova Poshta Digital</t>
  </si>
  <si>
    <t xml:space="preserve">E-commerce Infrastructure / Logistics Tech</t>
  </si>
  <si>
    <t xml:space="preserve">~100-250 (estimate, digital unit)</t>
  </si>
  <si>
    <t xml:space="preserve">novaposhta.ua</t>
  </si>
  <si>
    <t xml:space="preserve">Ecommerce/logistics infrastructure arm of Ukraine's largest parcel carrier; strong digital maturity and merchant-facing focus.</t>
  </si>
  <si>
    <t xml:space="preserve">LeBoutique</t>
  </si>
  <si>
    <t xml:space="preserve">E-commerce (Fashion)</t>
  </si>
  <si>
    <t xml:space="preserve">~50-150 (estimate)</t>
  </si>
  <si>
    <t xml:space="preserve">leboutique.com</t>
  </si>
  <si>
    <t xml:space="preserve">Established Ukrainian e-commerce platform (since 2010) with Western supplier relationships implying cross-border payment needs.</t>
  </si>
  <si>
    <t xml:space="preserve">ElifTech</t>
  </si>
  <si>
    <t xml:space="preserve">Software Development Outsourcing</t>
  </si>
  <si>
    <t xml:space="preserve">~50-100 (estimate)</t>
  </si>
  <si>
    <t xml:space="preserve">eliftech.com</t>
  </si>
  <si>
    <t xml:space="preserve">Mid-size software outsourcing firm serving international clients — strong core ICP fit for size and billing profile.</t>
  </si>
  <si>
    <t xml:space="preserve">Vilmate LLC</t>
  </si>
  <si>
    <t xml:space="preserve">Kharkiv/Lviv</t>
  </si>
  <si>
    <t xml:space="preserve">vilmate.com</t>
  </si>
  <si>
    <t xml:space="preserve">Software outsourcing company with an international client base; typical SME cross-border billing profile.</t>
  </si>
  <si>
    <t xml:space="preserve">DBB Software</t>
  </si>
  <si>
    <t xml:space="preserve">dbbsoftware.com</t>
  </si>
  <si>
    <t xml:space="preserve">Custom software development firm serving overseas clients; strong core ICP fit.</t>
  </si>
  <si>
    <t xml:space="preserve">Bits Orchestra</t>
  </si>
  <si>
    <t xml:space="preserve">Uzhhorod</t>
  </si>
  <si>
    <t xml:space="preserve">bitsorchestra.com</t>
  </si>
  <si>
    <t xml:space="preserve">Outsourcing firm with a track record of US-based clients; strong cross-border payment need.</t>
  </si>
  <si>
    <t xml:space="preserve">Geniusee</t>
  </si>
  <si>
    <t xml:space="preserve">~100-200 (estimate)</t>
  </si>
  <si>
    <t xml:space="preserve">geniusee.com</t>
  </si>
  <si>
    <t xml:space="preserve">AWS-recognised custom software company working with mid-size and large international clients.</t>
  </si>
  <si>
    <t xml:space="preserve">Roobykon Software</t>
  </si>
  <si>
    <t xml:space="preserve">E-commerce / WordPress Development</t>
  </si>
  <si>
    <t xml:space="preserve">Rivne</t>
  </si>
  <si>
    <t xml:space="preserve">~20-60 (estimate)</t>
  </si>
  <si>
    <t xml:space="preserve">roobykon.com</t>
  </si>
  <si>
    <t xml:space="preserve">Smaller e-commerce development shop, tight core-SME fit; likely lower digital-finance maturity than larger peers.</t>
  </si>
  <si>
    <t xml:space="preserve">Chudovo</t>
  </si>
  <si>
    <t xml:space="preserve">Custom Software Development</t>
  </si>
  <si>
    <t xml:space="preserve">Kharkiv</t>
  </si>
  <si>
    <t xml:space="preserve">chudovo.com</t>
  </si>
  <si>
    <t xml:space="preserve">Custom software company delivering complex systems across healthcare, finance and logistics for international clients.</t>
  </si>
  <si>
    <t xml:space="preserve">SoftBee</t>
  </si>
  <si>
    <t xml:space="preserve">App Development</t>
  </si>
  <si>
    <t xml:space="preserve">softbee.dev</t>
  </si>
  <si>
    <t xml:space="preserve">App development studio with international App Store clients; smaller but tight SME fit.</t>
  </si>
  <si>
    <t xml:space="preserve">Dinarys</t>
  </si>
  <si>
    <t xml:space="preserve">E-commerce Development (Magento/Adobe Commerce)</t>
  </si>
  <si>
    <t xml:space="preserve">Multiple (UA)</t>
  </si>
  <si>
    <t xml:space="preserve">dinarys.com</t>
  </si>
  <si>
    <t xml:space="preserve">E-commerce development agency (Magento/Adobe Commerce specialists) serving international retail clients.</t>
  </si>
  <si>
    <t xml:space="preserve">LEGEND</t>
  </si>
  <si>
    <t xml:space="preserve">Yellow cells with blue text = researcher-entered inputs (1-5 fit ratings, data confidence). Weighted Score is a live formula pulling weights from the 'Lead Scoring Model' sheet — change a weight there and every score here recalculates.</t>
  </si>
  <si>
    <t xml:space="preserve">Lead Scoring Model — Weights &amp; Methodology</t>
  </si>
  <si>
    <t xml:space="preserve">Weight</t>
  </si>
  <si>
    <t xml:space="preserve">1-5 Scale Meaning</t>
  </si>
  <si>
    <t xml:space="preserve">Company Size Fit</t>
  </si>
  <si>
    <t xml:space="preserve">5 = squarely 10-250 employees (core SME ICP). 1 = far outside band (very small or enterprise scale).</t>
  </si>
  <si>
    <t xml:space="preserve">Industry / ICP Fit</t>
  </si>
  <si>
    <t xml:space="preserve">5 = IT services, software outsourcing or e-commerce with clear international billing. 1 = domestic-only, no cross-border activity.</t>
  </si>
  <si>
    <t xml:space="preserve">Cross-Border Trade Need</t>
  </si>
  <si>
    <t xml:space="preserve">5 = routinely invoices or pays overseas in USD/EUR/GBP. 1 = no evidence of foreign currency activity.</t>
  </si>
  <si>
    <t xml:space="preserve">Digital Maturity</t>
  </si>
  <si>
    <t xml:space="preserve">5 = modern SaaS/fintech-adjacent stack, likely to adopt a fintech tool quickly. 1 = legacy, slow-moving operations.</t>
  </si>
  <si>
    <t xml:space="preserve">Total</t>
  </si>
  <si>
    <t xml:space="preserve">Formula used per account (Target Accounts sheet, column K):</t>
  </si>
  <si>
    <t xml:space="preserve">Weighted Score = (Size Fit x Weight + Industry Fit x Weight + Cross-Border Need x Weight + Digital Maturity x Weight) x 20  — scaled so a perfect 5/5/5/5 profile scores 100.</t>
  </si>
  <si>
    <t xml:space="preserve">Outreach Sequence — English</t>
  </si>
  <si>
    <t xml:space="preserve">Touch</t>
  </si>
  <si>
    <t xml:space="preserve">Channel / Timing</t>
  </si>
  <si>
    <t xml:space="preserve">Message</t>
  </si>
  <si>
    <t xml:space="preserve">1</t>
  </si>
  <si>
    <t xml:space="preserve">Email — Day 1</t>
  </si>
  <si>
    <t xml:space="preserve">Subject: Quick question about [Company]'s international payments
Hi [First Name],
I noticed [Company] works with clients/partners outside Ukraine — I imagine that means regular USD/EUR transfers and currency conversion on your end.
I work with Payoneer, and we help companies like yours open multi-currency accounts, cut FX costs, and issue cards for a distributed team, usually set up in under a day.
Worth a quick 15-minute call to see if it's relevant for [Company]?
Best,
[Name]</t>
  </si>
  <si>
    <t xml:space="preserve">2</t>
  </si>
  <si>
    <t xml:space="preserve">LinkedIn connection — Day 3</t>
  </si>
  <si>
    <t xml:space="preserve">Hi [First Name], I sent you a note on email about how [Company] might simplify international payments with Payoneer — wanted to connect here too in case it's easier to reach you this way.</t>
  </si>
  <si>
    <t xml:space="preserve">3</t>
  </si>
  <si>
    <t xml:space="preserve">Email — Day 7</t>
  </si>
  <si>
    <t xml:space="preserve">Subject: Following up — [Company] + Payoneer
Hi [First Name],
Circling back in case my last note got buried. A lot of Ukrainian software/e-commerce companies we talk to are losing real money to bank FX spreads on client payments — happy to show you what a Payoneer account could save [Company], no obligation.
Open to a short call this week or next?
Best,
[Name]</t>
  </si>
  <si>
    <t xml:space="preserve">4</t>
  </si>
  <si>
    <t xml:space="preserve">Email — Day 14 (breakup)</t>
  </si>
  <si>
    <t xml:space="preserve">Subject: Should I close this out?
Hi [First Name],
I don't want to keep filling your inbox — if international payments aren't a priority for [Company] right now, no problem at all. If it becomes relevant later, feel free to reach out any time.
All the best,
[Name]</t>
  </si>
  <si>
    <t xml:space="preserve">Outreach Sequence — Ukrainian (culturally adapted, not machine-translated)</t>
  </si>
  <si>
    <t xml:space="preserve">Тема: Коротке питання щодо міжнародних платежів [Company]
Доброго дня, [Ім'я],
Помітила, що [Company] співпрацює з партнерами за межами України — ймовірно, це означає регулярні перекази в USD/EUR та конвертацію валюти.
Я представляю Payoneer — ми допомагаємо компаніям відкривати мультивалютні рахунки, знижувати витрати на конвертацію та випускати картки для розподіленої команди, зазвичай усе налаштовується менш ніж за день.
Чи було б зручно зателефонувати на 15 хвилин, щоб зрозуміти, чи це актуально для [Company]?
З повагою,
[Ім'я]</t>
  </si>
  <si>
    <t xml:space="preserve">LinkedIn — Day 3</t>
  </si>
  <si>
    <t xml:space="preserve">Доброго дня, [Ім'я], надіслала вам листа про те, як [Company] може спростити міжнародні платежі за допомогою Payoneer — вирішила додати вас і тут, на випадок якщо так буде зручніше зв'язатися.</t>
  </si>
  <si>
    <t xml:space="preserve">Тема: Повертаючись до теми — [Company] та Payoneer
Доброго дня, [Ім'я],
Пишу на випадок, якщо попередній лист загубився. Багато українських IT- та e-commerce компаній, з якими ми спілкуємось, втрачають реальні гроші на банківських курсах конвертації під час платежів клієнтів. Готова коротко показати, скільки [Company] могла б заощадити — без жодних зобов'язань.
Чи буде зручно зателефонувати цього або наступного тижня?
З повагою,
[Ім'я]</t>
  </si>
  <si>
    <t xml:space="preserve">Email — Day 14 (завершення)</t>
  </si>
  <si>
    <t xml:space="preserve">Тема: Закрити питання?
Доброго дня, [Ім'я],
Не хочу бути настирливою — якщо тема міжнародних платежів зараз не в пріоритеті для [Company], це цілком нормально. Якщо стане актуальним пізніше, буду рада знову бути на зв'язку.
Усього найкращого,
[Ім'я]</t>
  </si>
  <si>
    <t xml:space="preserve">Localization notes:</t>
  </si>
  <si>
    <t xml:space="preserve">Formal 'ви' register used throughout, consistent with Ukrainian B2B cold-outreach norms (informal 'ти' would read as unprofessional). Framing leans on concrete cost/savings language rather than the more aspirational tone common in English SaaS copy, and avoids idioms that don't translate culturally. LinkedIn is kept as the secondary channel; in practice, Telegram or Viber are often stronger follow-up channels in the Ukrainian market and would be worth testing.</t>
  </si>
  <si>
    <t xml:space="preserve">Stage</t>
  </si>
  <si>
    <t xml:space="preserve">Next Action</t>
  </si>
  <si>
    <t xml:space="preserve">Owner</t>
  </si>
  <si>
    <t xml:space="preserve">Notes</t>
  </si>
  <si>
    <t xml:space="preserve">Prospected</t>
  </si>
  <si>
    <t xml:space="preserve">Send Touch 1 email</t>
  </si>
  <si>
    <t xml:space="preserve">Valeriia Slastin</t>
  </si>
  <si>
    <t xml:space="preserve">Illustrative status — not a real live pipeline.</t>
  </si>
  <si>
    <t xml:space="preserve">Contacted</t>
  </si>
  <si>
    <t xml:space="preserve">Follow up (Touch 2/3)</t>
  </si>
  <si>
    <t xml:space="preserve">Meeting Booked</t>
  </si>
  <si>
    <t xml:space="preserve">Prep discovery call</t>
  </si>
  <si>
    <t xml:space="preserve">Opportunity</t>
  </si>
  <si>
    <t xml:space="preserve">Send proposal / pricing</t>
  </si>
  <si>
    <t xml:space="preserve">Illustrative Conversion Assumptions (labelled estimates, not measured data)</t>
  </si>
  <si>
    <t xml:space="preserve">Prospected -&gt; Contacted</t>
  </si>
  <si>
    <t xml:space="preserve">100% (every account gets Touch 1)</t>
  </si>
  <si>
    <t xml:space="preserve">Contacted -&gt; Meeting Booked</t>
  </si>
  <si>
    <t xml:space="preserve">~15-20% (typical cold-outbound benchmark)</t>
  </si>
  <si>
    <t xml:space="preserve">Meeting Booked -&gt; Opportunity</t>
  </si>
  <si>
    <t xml:space="preserve">~40-50%</t>
  </si>
  <si>
    <t xml:space="preserve">Methodology &amp; Caveats</t>
  </si>
  <si>
    <t xml:space="preserve">COMPANY SELECTION</t>
  </si>
  <si>
    <t xml:space="preserve">The 15 companies in 'Target Accounts (Ukraine)' are real, named, and independently verifiable via</t>
  </si>
  <si>
    <t xml:space="preserve">their public websites (listed in the sheet). They were identified through public sector directories</t>
  </si>
  <si>
    <t xml:space="preserve">(e.g. Clutch.co, GoodFirms, TechBehemoths listings of Ukrainian e-commerce and software companies)</t>
  </si>
  <si>
    <t xml:space="preserve">and general public knowledge of well-known Ukrainian tech companies.</t>
  </si>
  <si>
    <t xml:space="preserve">WHAT IS VERIFIED VS. ESTIMATED</t>
  </si>
  <si>
    <t xml:space="preserve">Verified: company name, industry/sector, city, website.</t>
  </si>
  <si>
    <t xml:space="preserve">Estimated (researcher judgement, not scraped or sourced from a paid data provider): employee count</t>
  </si>
  <si>
    <t xml:space="preserve">bands, all 1-5 fit ratings, and the resulting weighted scores. These are flagged with a Data</t>
  </si>
  <si>
    <t xml:space="preserve">Confidence rating (1-5) in the Target Accounts sheet — a lower number means the estimate is a</t>
  </si>
  <si>
    <t xml:space="preserve">reasoned guess based on general company size category rather than a specific verified figure.</t>
  </si>
  <si>
    <t xml:space="preserve">WHY NO NAMED DECISION-MAKER CONTACTS</t>
  </si>
  <si>
    <t xml:space="preserve">Unlike the earlier university research workbook, this project deliberately excludes named individual</t>
  </si>
  <si>
    <t xml:space="preserve">contacts (e.g. a specific Finance Director's name and LinkedIn profile) because verifying current,</t>
  </si>
  <si>
    <t xml:space="preserve">accurate personal contact details for 15 companies was outside the scope of a portfolio exercise.</t>
  </si>
  <si>
    <t xml:space="preserve">In a real SDR role this would be the next research step, typically done in a CRM/sales intelligence</t>
  </si>
  <si>
    <t xml:space="preserve">tool (e.g. LinkedIn Sales Navigator, Apollo, ZoomInfo).</t>
  </si>
  <si>
    <t xml:space="preserve">GEOGRAPHIC SCOPE</t>
  </si>
  <si>
    <t xml:space="preserve">This version focuses solely on Ukraine, where company-level data was straightforward to verify.</t>
  </si>
  <si>
    <t xml:space="preserve">A planned Phase 2 would extend the same methodology to additional CEE markets — deliberately left</t>
  </si>
  <si>
    <t xml:space="preserve">out of this version rather than populated with unverified placeholder companies.</t>
  </si>
  <si>
    <t xml:space="preserve">CONVERSION ASSUMPTIONS</t>
  </si>
  <si>
    <t xml:space="preserve">Figures in the Mock CRM Pipeline sheet are general cold-outbound industry benchmarks, not measured</t>
  </si>
  <si>
    <t xml:space="preserve">results from this project (no real outreach has been sent). They are included to show familiarity</t>
  </si>
  <si>
    <t xml:space="preserve">with how SDR pipelines are typically modelled, not as a performance claim.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</si>
</sst>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4" t="s">
        <v>27</v>
      </c>
      <c r="B1" s="4"/>
    </row>
    <row r="2" customFormat="false" ht="30" hidden="false" customHeight="true" outlineLevel="0" collapsed="false">
      <c r="A2" s="5" t="s">
        <v>28</v>
      </c>
      <c r="B2" s="5" t="s">
        <v>29</v>
      </c>
    </row>
    <row r="3" customFormat="false" ht="39.55" hidden="false" customHeight="false" outlineLevel="0" collapsed="false">
      <c r="A3" s="6" t="s">
        <v>30</v>
      </c>
      <c r="B3" s="7" t="s">
        <v>31</v>
      </c>
    </row>
    <row r="4" customFormat="false" ht="39.55" hidden="false" customHeight="false" outlineLevel="0" collapsed="false">
      <c r="A4" s="6" t="s">
        <v>32</v>
      </c>
      <c r="B4" s="7" t="s">
        <v>33</v>
      </c>
    </row>
    <row r="5" customFormat="false" ht="39.55" hidden="false" customHeight="false" outlineLevel="0" collapsed="false">
      <c r="A5" s="6" t="s">
        <v>34</v>
      </c>
      <c r="B5" s="7" t="s">
        <v>35</v>
      </c>
    </row>
    <row r="6" customFormat="false" ht="26.85" hidden="false" customHeight="false" outlineLevel="0" collapsed="false">
      <c r="A6" s="6" t="s">
        <v>36</v>
      </c>
      <c r="B6" s="7" t="s">
        <v>37</v>
      </c>
    </row>
    <row r="7" customFormat="false" ht="26.85" hidden="false" customHeight="false" outlineLevel="0" collapsed="false">
      <c r="A7" s="6" t="s">
        <v>38</v>
      </c>
      <c r="B7" s="7" t="s">
        <v>39</v>
      </c>
    </row>
    <row r="8" customFormat="false" ht="26.85" hidden="false" customHeight="false" outlineLevel="0" collapsed="false">
      <c r="A8" s="6" t="s">
        <v>40</v>
      </c>
      <c r="B8" s="7" t="s">
        <v>41</v>
      </c>
    </row>
    <row r="9" customFormat="false" ht="39.55" hidden="false" customHeight="false" outlineLevel="0" collapsed="false">
      <c r="A9" s="6" t="s">
        <v>42</v>
      </c>
      <c r="B9" s="7" t="s">
        <v>43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10" min="7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5" t="s">
        <v>44</v>
      </c>
      <c r="B1" s="5" t="s">
        <v>32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</row>
    <row r="2" customFormat="false" ht="64.9" hidden="false" customHeight="false" outlineLevel="0" collapsed="false">
      <c r="A2" s="8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60</v>
      </c>
      <c r="G2" s="9" t="n">
        <v>2</v>
      </c>
      <c r="H2" s="9" t="n">
        <v>5</v>
      </c>
      <c r="I2" s="9" t="n">
        <v>5</v>
      </c>
      <c r="J2" s="9" t="n">
        <v>5</v>
      </c>
      <c r="K2" s="10" t="n">
        <f aca="false">(G2*'Lead Scoring Model'!$B$3 + H2*'Lead Scoring Model'!$B$4 + I2*'Lead Scoring Model'!$B$5 + J2*'Lead Scoring Model'!$B$6)*20</f>
        <v>85</v>
      </c>
      <c r="L2" s="9" t="n">
        <v>3</v>
      </c>
    </row>
    <row r="3" customFormat="false" ht="64.9" hidden="false" customHeight="false" outlineLevel="0" collapsed="false">
      <c r="A3" s="8" t="s">
        <v>61</v>
      </c>
      <c r="B3" s="7" t="s">
        <v>56</v>
      </c>
      <c r="C3" s="7" t="s">
        <v>57</v>
      </c>
      <c r="D3" s="7" t="s">
        <v>62</v>
      </c>
      <c r="E3" s="7" t="s">
        <v>63</v>
      </c>
      <c r="F3" s="7" t="s">
        <v>64</v>
      </c>
      <c r="G3" s="9" t="n">
        <v>2</v>
      </c>
      <c r="H3" s="9" t="n">
        <v>5</v>
      </c>
      <c r="I3" s="9" t="n">
        <v>5</v>
      </c>
      <c r="J3" s="9" t="n">
        <v>4</v>
      </c>
      <c r="K3" s="10" t="n">
        <f aca="false">(G3*'Lead Scoring Model'!$B$3 + H3*'Lead Scoring Model'!$B$4 + I3*'Lead Scoring Model'!$B$5 + J3*'Lead Scoring Model'!$B$6)*20</f>
        <v>82</v>
      </c>
      <c r="L3" s="9" t="n">
        <v>3</v>
      </c>
    </row>
    <row r="4" customFormat="false" ht="52.2" hidden="false" customHeight="false" outlineLevel="0" collapsed="false">
      <c r="A4" s="8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9" t="n">
        <v>2</v>
      </c>
      <c r="H4" s="9" t="n">
        <v>4</v>
      </c>
      <c r="I4" s="9" t="n">
        <v>5</v>
      </c>
      <c r="J4" s="9" t="n">
        <v>4</v>
      </c>
      <c r="K4" s="10" t="n">
        <f aca="false">(G4*'Lead Scoring Model'!$B$3 + H4*'Lead Scoring Model'!$B$4 + I4*'Lead Scoring Model'!$B$5 + J4*'Lead Scoring Model'!$B$6)*20</f>
        <v>76</v>
      </c>
      <c r="L4" s="9" t="n">
        <v>2</v>
      </c>
    </row>
    <row r="5" customFormat="false" ht="39.55" hidden="false" customHeight="false" outlineLevel="0" collapsed="false">
      <c r="A5" s="8" t="s">
        <v>71</v>
      </c>
      <c r="B5" s="7" t="s">
        <v>72</v>
      </c>
      <c r="C5" s="7" t="s">
        <v>67</v>
      </c>
      <c r="D5" s="7" t="s">
        <v>73</v>
      </c>
      <c r="E5" s="7" t="s">
        <v>74</v>
      </c>
      <c r="F5" s="7" t="s">
        <v>75</v>
      </c>
      <c r="G5" s="9" t="n">
        <v>4</v>
      </c>
      <c r="H5" s="9" t="n">
        <v>4</v>
      </c>
      <c r="I5" s="9" t="n">
        <v>3</v>
      </c>
      <c r="J5" s="9" t="n">
        <v>4</v>
      </c>
      <c r="K5" s="10" t="n">
        <f aca="false">(G5*'Lead Scoring Model'!$B$3 + H5*'Lead Scoring Model'!$B$4 + I5*'Lead Scoring Model'!$B$5 + J5*'Lead Scoring Model'!$B$6)*20</f>
        <v>74</v>
      </c>
      <c r="L5" s="9" t="n">
        <v>2</v>
      </c>
    </row>
    <row r="6" customFormat="false" ht="39.55" hidden="false" customHeight="false" outlineLevel="0" collapsed="false">
      <c r="A6" s="8" t="s">
        <v>76</v>
      </c>
      <c r="B6" s="7" t="s">
        <v>77</v>
      </c>
      <c r="C6" s="7" t="s">
        <v>67</v>
      </c>
      <c r="D6" s="7" t="s">
        <v>78</v>
      </c>
      <c r="E6" s="7" t="s">
        <v>79</v>
      </c>
      <c r="F6" s="7" t="s">
        <v>80</v>
      </c>
      <c r="G6" s="9" t="n">
        <v>3</v>
      </c>
      <c r="H6" s="9" t="n">
        <v>4</v>
      </c>
      <c r="I6" s="9" t="n">
        <v>4</v>
      </c>
      <c r="J6" s="9" t="n">
        <v>4</v>
      </c>
      <c r="K6" s="10" t="n">
        <f aca="false">(G6*'Lead Scoring Model'!$B$3 + H6*'Lead Scoring Model'!$B$4 + I6*'Lead Scoring Model'!$B$5 + J6*'Lead Scoring Model'!$B$6)*20</f>
        <v>75</v>
      </c>
      <c r="L6" s="9" t="n">
        <v>2</v>
      </c>
    </row>
    <row r="7" customFormat="false" ht="52.2" hidden="false" customHeight="false" outlineLevel="0" collapsed="false">
      <c r="A7" s="8" t="s">
        <v>81</v>
      </c>
      <c r="B7" s="7" t="s">
        <v>82</v>
      </c>
      <c r="C7" s="7" t="s">
        <v>67</v>
      </c>
      <c r="D7" s="7" t="s">
        <v>83</v>
      </c>
      <c r="E7" s="7" t="s">
        <v>84</v>
      </c>
      <c r="F7" s="7" t="s">
        <v>85</v>
      </c>
      <c r="G7" s="9" t="n">
        <v>4</v>
      </c>
      <c r="H7" s="9" t="n">
        <v>4</v>
      </c>
      <c r="I7" s="9" t="n">
        <v>4</v>
      </c>
      <c r="J7" s="9" t="n">
        <v>3</v>
      </c>
      <c r="K7" s="10" t="n">
        <f aca="false">(G7*'Lead Scoring Model'!$B$3 + H7*'Lead Scoring Model'!$B$4 + I7*'Lead Scoring Model'!$B$5 + J7*'Lead Scoring Model'!$B$6)*20</f>
        <v>77</v>
      </c>
      <c r="L7" s="9" t="n">
        <v>2</v>
      </c>
    </row>
    <row r="8" customFormat="false" ht="39.55" hidden="false" customHeight="false" outlineLevel="0" collapsed="false">
      <c r="A8" s="8" t="s">
        <v>86</v>
      </c>
      <c r="B8" s="7" t="s">
        <v>87</v>
      </c>
      <c r="C8" s="7" t="s">
        <v>57</v>
      </c>
      <c r="D8" s="7" t="s">
        <v>88</v>
      </c>
      <c r="E8" s="7" t="s">
        <v>89</v>
      </c>
      <c r="F8" s="7" t="s">
        <v>90</v>
      </c>
      <c r="G8" s="9" t="n">
        <v>5</v>
      </c>
      <c r="H8" s="9" t="n">
        <v>5</v>
      </c>
      <c r="I8" s="9" t="n">
        <v>5</v>
      </c>
      <c r="J8" s="9" t="n">
        <v>4</v>
      </c>
      <c r="K8" s="10" t="n">
        <f aca="false">(G8*'Lead Scoring Model'!$B$3 + H8*'Lead Scoring Model'!$B$4 + I8*'Lead Scoring Model'!$B$5 + J8*'Lead Scoring Model'!$B$6)*20</f>
        <v>97</v>
      </c>
      <c r="L8" s="9" t="n">
        <v>2</v>
      </c>
    </row>
    <row r="9" customFormat="false" ht="39.55" hidden="false" customHeight="false" outlineLevel="0" collapsed="false">
      <c r="A9" s="8" t="s">
        <v>91</v>
      </c>
      <c r="B9" s="7" t="s">
        <v>87</v>
      </c>
      <c r="C9" s="7" t="s">
        <v>92</v>
      </c>
      <c r="D9" s="7" t="s">
        <v>83</v>
      </c>
      <c r="E9" s="7" t="s">
        <v>93</v>
      </c>
      <c r="F9" s="7" t="s">
        <v>94</v>
      </c>
      <c r="G9" s="9" t="n">
        <v>4</v>
      </c>
      <c r="H9" s="9" t="n">
        <v>5</v>
      </c>
      <c r="I9" s="9" t="n">
        <v>5</v>
      </c>
      <c r="J9" s="9" t="n">
        <v>4</v>
      </c>
      <c r="K9" s="10" t="n">
        <f aca="false">(G9*'Lead Scoring Model'!$B$3 + H9*'Lead Scoring Model'!$B$4 + I9*'Lead Scoring Model'!$B$5 + J9*'Lead Scoring Model'!$B$6)*20</f>
        <v>92</v>
      </c>
      <c r="L9" s="9" t="n">
        <v>2</v>
      </c>
    </row>
    <row r="10" customFormat="false" ht="39.55" hidden="false" customHeight="false" outlineLevel="0" collapsed="false">
      <c r="A10" s="8" t="s">
        <v>95</v>
      </c>
      <c r="B10" s="7" t="s">
        <v>87</v>
      </c>
      <c r="C10" s="7" t="s">
        <v>57</v>
      </c>
      <c r="D10" s="7" t="s">
        <v>88</v>
      </c>
      <c r="E10" s="7" t="s">
        <v>96</v>
      </c>
      <c r="F10" s="7" t="s">
        <v>97</v>
      </c>
      <c r="G10" s="9" t="n">
        <v>5</v>
      </c>
      <c r="H10" s="9" t="n">
        <v>5</v>
      </c>
      <c r="I10" s="9" t="n">
        <v>5</v>
      </c>
      <c r="J10" s="9" t="n">
        <v>4</v>
      </c>
      <c r="K10" s="10" t="n">
        <f aca="false">(G10*'Lead Scoring Model'!$B$3 + H10*'Lead Scoring Model'!$B$4 + I10*'Lead Scoring Model'!$B$5 + J10*'Lead Scoring Model'!$B$6)*20</f>
        <v>97</v>
      </c>
      <c r="L10" s="9" t="n">
        <v>2</v>
      </c>
    </row>
    <row r="11" customFormat="false" ht="39.55" hidden="false" customHeight="false" outlineLevel="0" collapsed="false">
      <c r="A11" s="8" t="s">
        <v>98</v>
      </c>
      <c r="B11" s="7" t="s">
        <v>87</v>
      </c>
      <c r="C11" s="7" t="s">
        <v>99</v>
      </c>
      <c r="D11" s="7" t="s">
        <v>88</v>
      </c>
      <c r="E11" s="7" t="s">
        <v>100</v>
      </c>
      <c r="F11" s="7" t="s">
        <v>101</v>
      </c>
      <c r="G11" s="9" t="n">
        <v>5</v>
      </c>
      <c r="H11" s="9" t="n">
        <v>5</v>
      </c>
      <c r="I11" s="9" t="n">
        <v>5</v>
      </c>
      <c r="J11" s="9" t="n">
        <v>3</v>
      </c>
      <c r="K11" s="10" t="n">
        <f aca="false">(G11*'Lead Scoring Model'!$B$3 + H11*'Lead Scoring Model'!$B$4 + I11*'Lead Scoring Model'!$B$5 + J11*'Lead Scoring Model'!$B$6)*20</f>
        <v>94</v>
      </c>
      <c r="L11" s="9" t="n">
        <v>2</v>
      </c>
    </row>
    <row r="12" customFormat="false" ht="39.55" hidden="false" customHeight="false" outlineLevel="0" collapsed="false">
      <c r="A12" s="8" t="s">
        <v>102</v>
      </c>
      <c r="B12" s="7" t="s">
        <v>87</v>
      </c>
      <c r="C12" s="7" t="s">
        <v>67</v>
      </c>
      <c r="D12" s="7" t="s">
        <v>103</v>
      </c>
      <c r="E12" s="7" t="s">
        <v>104</v>
      </c>
      <c r="F12" s="7" t="s">
        <v>105</v>
      </c>
      <c r="G12" s="9" t="n">
        <v>4</v>
      </c>
      <c r="H12" s="9" t="n">
        <v>5</v>
      </c>
      <c r="I12" s="9" t="n">
        <v>5</v>
      </c>
      <c r="J12" s="9" t="n">
        <v>5</v>
      </c>
      <c r="K12" s="10" t="n">
        <f aca="false">(G12*'Lead Scoring Model'!$B$3 + H12*'Lead Scoring Model'!$B$4 + I12*'Lead Scoring Model'!$B$5 + J12*'Lead Scoring Model'!$B$6)*20</f>
        <v>95</v>
      </c>
      <c r="L12" s="9" t="n">
        <v>2</v>
      </c>
    </row>
    <row r="13" customFormat="false" ht="39.55" hidden="false" customHeight="false" outlineLevel="0" collapsed="false">
      <c r="A13" s="8" t="s">
        <v>106</v>
      </c>
      <c r="B13" s="7" t="s">
        <v>107</v>
      </c>
      <c r="C13" s="7" t="s">
        <v>108</v>
      </c>
      <c r="D13" s="7" t="s">
        <v>109</v>
      </c>
      <c r="E13" s="7" t="s">
        <v>110</v>
      </c>
      <c r="F13" s="7" t="s">
        <v>111</v>
      </c>
      <c r="G13" s="9" t="n">
        <v>5</v>
      </c>
      <c r="H13" s="9" t="n">
        <v>4</v>
      </c>
      <c r="I13" s="9" t="n">
        <v>4</v>
      </c>
      <c r="J13" s="9" t="n">
        <v>3</v>
      </c>
      <c r="K13" s="10" t="n">
        <f aca="false">(G13*'Lead Scoring Model'!$B$3 + H13*'Lead Scoring Model'!$B$4 + I13*'Lead Scoring Model'!$B$5 + J13*'Lead Scoring Model'!$B$6)*20</f>
        <v>82</v>
      </c>
      <c r="L13" s="9" t="n">
        <v>2</v>
      </c>
    </row>
    <row r="14" customFormat="false" ht="52.2" hidden="false" customHeight="false" outlineLevel="0" collapsed="false">
      <c r="A14" s="8" t="s">
        <v>112</v>
      </c>
      <c r="B14" s="7" t="s">
        <v>113</v>
      </c>
      <c r="C14" s="7" t="s">
        <v>114</v>
      </c>
      <c r="D14" s="7" t="s">
        <v>103</v>
      </c>
      <c r="E14" s="7" t="s">
        <v>115</v>
      </c>
      <c r="F14" s="7" t="s">
        <v>116</v>
      </c>
      <c r="G14" s="9" t="n">
        <v>4</v>
      </c>
      <c r="H14" s="9" t="n">
        <v>5</v>
      </c>
      <c r="I14" s="9" t="n">
        <v>5</v>
      </c>
      <c r="J14" s="9" t="n">
        <v>4</v>
      </c>
      <c r="K14" s="10" t="n">
        <f aca="false">(G14*'Lead Scoring Model'!$B$3 + H14*'Lead Scoring Model'!$B$4 + I14*'Lead Scoring Model'!$B$5 + J14*'Lead Scoring Model'!$B$6)*20</f>
        <v>92</v>
      </c>
      <c r="L14" s="9" t="n">
        <v>2</v>
      </c>
    </row>
    <row r="15" customFormat="false" ht="39.55" hidden="false" customHeight="false" outlineLevel="0" collapsed="false">
      <c r="A15" s="8" t="s">
        <v>117</v>
      </c>
      <c r="B15" s="7" t="s">
        <v>118</v>
      </c>
      <c r="C15" s="7" t="s">
        <v>67</v>
      </c>
      <c r="D15" s="7" t="s">
        <v>109</v>
      </c>
      <c r="E15" s="7" t="s">
        <v>119</v>
      </c>
      <c r="F15" s="7" t="s">
        <v>120</v>
      </c>
      <c r="G15" s="9" t="n">
        <v>5</v>
      </c>
      <c r="H15" s="9" t="n">
        <v>4</v>
      </c>
      <c r="I15" s="9" t="n">
        <v>4</v>
      </c>
      <c r="J15" s="9" t="n">
        <v>3</v>
      </c>
      <c r="K15" s="10" t="n">
        <f aca="false">(G15*'Lead Scoring Model'!$B$3 + H15*'Lead Scoring Model'!$B$4 + I15*'Lead Scoring Model'!$B$5 + J15*'Lead Scoring Model'!$B$6)*20</f>
        <v>82</v>
      </c>
      <c r="L15" s="9" t="n">
        <v>2</v>
      </c>
    </row>
    <row r="16" customFormat="false" ht="52.2" hidden="false" customHeight="false" outlineLevel="0" collapsed="false">
      <c r="A16" s="8" t="s">
        <v>121</v>
      </c>
      <c r="B16" s="7" t="s">
        <v>122</v>
      </c>
      <c r="C16" s="7" t="s">
        <v>123</v>
      </c>
      <c r="D16" s="7" t="s">
        <v>88</v>
      </c>
      <c r="E16" s="7" t="s">
        <v>124</v>
      </c>
      <c r="F16" s="7" t="s">
        <v>125</v>
      </c>
      <c r="G16" s="9" t="n">
        <v>5</v>
      </c>
      <c r="H16" s="9" t="n">
        <v>5</v>
      </c>
      <c r="I16" s="9" t="n">
        <v>4</v>
      </c>
      <c r="J16" s="9" t="n">
        <v>4</v>
      </c>
      <c r="K16" s="10" t="n">
        <f aca="false">(G16*'Lead Scoring Model'!$B$3 + H16*'Lead Scoring Model'!$B$4 + I16*'Lead Scoring Model'!$B$5 + J16*'Lead Scoring Model'!$B$6)*20</f>
        <v>91</v>
      </c>
      <c r="L16" s="9" t="n">
        <v>2</v>
      </c>
    </row>
    <row r="19" customFormat="false" ht="15" hidden="false" customHeight="false" outlineLevel="0" collapsed="false">
      <c r="A19" s="11" t="s">
        <v>126</v>
      </c>
    </row>
    <row r="20" customFormat="false" ht="26.85" hidden="false" customHeight="true" outlineLevel="0" collapsed="false">
      <c r="A20" s="12" t="s">
        <v>127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</sheetData>
  <mergeCells count="1"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4" t="s">
        <v>128</v>
      </c>
      <c r="B1" s="4"/>
      <c r="C1" s="4"/>
    </row>
    <row r="2" customFormat="false" ht="30" hidden="false" customHeight="true" outlineLevel="0" collapsed="false">
      <c r="A2" s="5" t="s">
        <v>28</v>
      </c>
      <c r="B2" s="5" t="s">
        <v>129</v>
      </c>
      <c r="C2" s="5" t="s">
        <v>130</v>
      </c>
    </row>
    <row r="3" customFormat="false" ht="26.85" hidden="false" customHeight="false" outlineLevel="0" collapsed="false">
      <c r="A3" s="8" t="s">
        <v>131</v>
      </c>
      <c r="B3" s="13" t="n">
        <v>0.25</v>
      </c>
      <c r="C3" s="7" t="s">
        <v>132</v>
      </c>
    </row>
    <row r="4" customFormat="false" ht="26.85" hidden="false" customHeight="false" outlineLevel="0" collapsed="false">
      <c r="A4" s="8" t="s">
        <v>133</v>
      </c>
      <c r="B4" s="13" t="n">
        <v>0.3</v>
      </c>
      <c r="C4" s="7" t="s">
        <v>134</v>
      </c>
    </row>
    <row r="5" customFormat="false" ht="26.85" hidden="false" customHeight="false" outlineLevel="0" collapsed="false">
      <c r="A5" s="8" t="s">
        <v>135</v>
      </c>
      <c r="B5" s="13" t="n">
        <v>0.3</v>
      </c>
      <c r="C5" s="7" t="s">
        <v>136</v>
      </c>
    </row>
    <row r="6" customFormat="false" ht="26.85" hidden="false" customHeight="false" outlineLevel="0" collapsed="false">
      <c r="A6" s="8" t="s">
        <v>137</v>
      </c>
      <c r="B6" s="13" t="n">
        <v>0.15</v>
      </c>
      <c r="C6" s="7" t="s">
        <v>138</v>
      </c>
    </row>
    <row r="7" customFormat="false" ht="15" hidden="false" customHeight="false" outlineLevel="0" collapsed="false">
      <c r="A7" s="8" t="s">
        <v>139</v>
      </c>
      <c r="B7" s="14" t="n">
        <f aca="false">SUM(B3:B6)</f>
        <v>1</v>
      </c>
    </row>
    <row r="9" customFormat="false" ht="15" hidden="false" customHeight="false" outlineLevel="0" collapsed="false">
      <c r="A9" s="11" t="s">
        <v>140</v>
      </c>
    </row>
    <row r="10" customFormat="false" ht="26.85" hidden="false" customHeight="true" outlineLevel="0" collapsed="false">
      <c r="A10" s="12" t="s">
        <v>141</v>
      </c>
      <c r="B10" s="12"/>
      <c r="C10" s="12"/>
    </row>
  </sheetData>
  <mergeCells count="2">
    <mergeCell ref="A1:C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4" t="s">
        <v>142</v>
      </c>
      <c r="B1" s="4"/>
      <c r="C1" s="4"/>
    </row>
    <row r="2" customFormat="false" ht="30" hidden="false" customHeight="true" outlineLevel="0" collapsed="false">
      <c r="A2" s="5" t="s">
        <v>143</v>
      </c>
      <c r="B2" s="5" t="s">
        <v>144</v>
      </c>
      <c r="C2" s="5" t="s">
        <v>145</v>
      </c>
    </row>
    <row r="3" customFormat="false" ht="129.75" hidden="false" customHeight="true" outlineLevel="0" collapsed="false">
      <c r="A3" s="6" t="s">
        <v>146</v>
      </c>
      <c r="B3" s="7" t="s">
        <v>147</v>
      </c>
      <c r="C3" s="7" t="s">
        <v>148</v>
      </c>
    </row>
    <row r="4" customFormat="false" ht="129.75" hidden="false" customHeight="true" outlineLevel="0" collapsed="false">
      <c r="A4" s="6" t="s">
        <v>149</v>
      </c>
      <c r="B4" s="7" t="s">
        <v>150</v>
      </c>
      <c r="C4" s="7" t="s">
        <v>151</v>
      </c>
    </row>
    <row r="5" customFormat="false" ht="129.75" hidden="false" customHeight="true" outlineLevel="0" collapsed="false">
      <c r="A5" s="6" t="s">
        <v>152</v>
      </c>
      <c r="B5" s="7" t="s">
        <v>153</v>
      </c>
      <c r="C5" s="7" t="s">
        <v>154</v>
      </c>
    </row>
    <row r="6" customFormat="false" ht="129.75" hidden="false" customHeight="true" outlineLevel="0" collapsed="false">
      <c r="A6" s="6" t="s">
        <v>155</v>
      </c>
      <c r="B6" s="7" t="s">
        <v>156</v>
      </c>
      <c r="C6" s="7" t="s">
        <v>157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4" t="s">
        <v>158</v>
      </c>
      <c r="B1" s="4"/>
      <c r="C1" s="4"/>
    </row>
    <row r="2" customFormat="false" ht="30" hidden="false" customHeight="true" outlineLevel="0" collapsed="false">
      <c r="A2" s="5" t="s">
        <v>143</v>
      </c>
      <c r="B2" s="5" t="s">
        <v>144</v>
      </c>
      <c r="C2" s="5" t="s">
        <v>145</v>
      </c>
    </row>
    <row r="3" customFormat="false" ht="150" hidden="false" customHeight="true" outlineLevel="0" collapsed="false">
      <c r="A3" s="6" t="s">
        <v>146</v>
      </c>
      <c r="B3" s="7" t="s">
        <v>147</v>
      </c>
      <c r="C3" s="7" t="s">
        <v>159</v>
      </c>
    </row>
    <row r="4" customFormat="false" ht="150" hidden="false" customHeight="true" outlineLevel="0" collapsed="false">
      <c r="A4" s="6" t="s">
        <v>149</v>
      </c>
      <c r="B4" s="7" t="s">
        <v>160</v>
      </c>
      <c r="C4" s="7" t="s">
        <v>161</v>
      </c>
    </row>
    <row r="5" customFormat="false" ht="150" hidden="false" customHeight="true" outlineLevel="0" collapsed="false">
      <c r="A5" s="6" t="s">
        <v>152</v>
      </c>
      <c r="B5" s="7" t="s">
        <v>153</v>
      </c>
      <c r="C5" s="7" t="s">
        <v>162</v>
      </c>
    </row>
    <row r="6" customFormat="false" ht="150" hidden="false" customHeight="true" outlineLevel="0" collapsed="false">
      <c r="A6" s="6" t="s">
        <v>155</v>
      </c>
      <c r="B6" s="7" t="s">
        <v>163</v>
      </c>
      <c r="C6" s="7" t="s">
        <v>164</v>
      </c>
    </row>
    <row r="8" customFormat="false" ht="15" hidden="false" customHeight="false" outlineLevel="0" collapsed="false">
      <c r="A8" s="11" t="s">
        <v>165</v>
      </c>
    </row>
    <row r="9" customFormat="false" ht="60" hidden="false" customHeight="true" outlineLevel="0" collapsed="false">
      <c r="A9" s="12" t="s">
        <v>166</v>
      </c>
      <c r="B9" s="12"/>
      <c r="C9" s="12"/>
    </row>
  </sheetData>
  <mergeCells count="2">
    <mergeCell ref="A1:C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5" t="s">
        <v>44</v>
      </c>
      <c r="B1" s="5" t="s">
        <v>167</v>
      </c>
      <c r="C1" s="5" t="s">
        <v>168</v>
      </c>
      <c r="D1" s="5" t="s">
        <v>169</v>
      </c>
      <c r="E1" s="5" t="s">
        <v>170</v>
      </c>
    </row>
    <row r="2" customFormat="false" ht="15" hidden="false" customHeight="false" outlineLevel="0" collapsed="false">
      <c r="A2" s="15" t="s">
        <v>55</v>
      </c>
      <c r="B2" s="15" t="s">
        <v>171</v>
      </c>
      <c r="C2" s="15" t="s">
        <v>172</v>
      </c>
      <c r="D2" s="15" t="s">
        <v>173</v>
      </c>
      <c r="E2" s="15" t="s">
        <v>174</v>
      </c>
    </row>
    <row r="3" customFormat="false" ht="15" hidden="false" customHeight="false" outlineLevel="0" collapsed="false">
      <c r="A3" s="15" t="s">
        <v>61</v>
      </c>
      <c r="B3" s="15" t="s">
        <v>175</v>
      </c>
      <c r="C3" s="15" t="s">
        <v>176</v>
      </c>
      <c r="D3" s="15" t="s">
        <v>173</v>
      </c>
      <c r="E3" s="15" t="s">
        <v>174</v>
      </c>
    </row>
    <row r="4" customFormat="false" ht="15" hidden="false" customHeight="false" outlineLevel="0" collapsed="false">
      <c r="A4" s="15" t="s">
        <v>65</v>
      </c>
      <c r="B4" s="15" t="s">
        <v>177</v>
      </c>
      <c r="C4" s="15" t="s">
        <v>178</v>
      </c>
      <c r="D4" s="15" t="s">
        <v>173</v>
      </c>
      <c r="E4" s="15" t="s">
        <v>174</v>
      </c>
    </row>
    <row r="5" customFormat="false" ht="15" hidden="false" customHeight="false" outlineLevel="0" collapsed="false">
      <c r="A5" s="15" t="s">
        <v>71</v>
      </c>
      <c r="B5" s="15" t="s">
        <v>179</v>
      </c>
      <c r="C5" s="15" t="s">
        <v>180</v>
      </c>
      <c r="D5" s="15" t="s">
        <v>173</v>
      </c>
      <c r="E5" s="15" t="s">
        <v>174</v>
      </c>
    </row>
    <row r="6" customFormat="false" ht="15" hidden="false" customHeight="false" outlineLevel="0" collapsed="false">
      <c r="A6" s="15" t="s">
        <v>76</v>
      </c>
      <c r="B6" s="15" t="s">
        <v>175</v>
      </c>
      <c r="C6" s="15" t="s">
        <v>176</v>
      </c>
      <c r="D6" s="15" t="s">
        <v>173</v>
      </c>
      <c r="E6" s="15" t="s">
        <v>174</v>
      </c>
    </row>
    <row r="7" customFormat="false" ht="15" hidden="false" customHeight="false" outlineLevel="0" collapsed="false">
      <c r="A7" s="15" t="s">
        <v>81</v>
      </c>
      <c r="B7" s="15" t="s">
        <v>171</v>
      </c>
      <c r="C7" s="15" t="s">
        <v>172</v>
      </c>
      <c r="D7" s="15" t="s">
        <v>173</v>
      </c>
      <c r="E7" s="15" t="s">
        <v>174</v>
      </c>
    </row>
    <row r="8" customFormat="false" ht="15" hidden="false" customHeight="false" outlineLevel="0" collapsed="false">
      <c r="A8" s="15" t="s">
        <v>86</v>
      </c>
      <c r="B8" s="15" t="s">
        <v>175</v>
      </c>
      <c r="C8" s="15" t="s">
        <v>176</v>
      </c>
      <c r="D8" s="15" t="s">
        <v>173</v>
      </c>
      <c r="E8" s="15" t="s">
        <v>174</v>
      </c>
    </row>
    <row r="9" customFormat="false" ht="15" hidden="false" customHeight="false" outlineLevel="0" collapsed="false">
      <c r="A9" s="15" t="s">
        <v>91</v>
      </c>
      <c r="B9" s="15" t="s">
        <v>177</v>
      </c>
      <c r="C9" s="15" t="s">
        <v>178</v>
      </c>
      <c r="D9" s="15" t="s">
        <v>173</v>
      </c>
      <c r="E9" s="15" t="s">
        <v>174</v>
      </c>
    </row>
    <row r="10" customFormat="false" ht="15" hidden="false" customHeight="false" outlineLevel="0" collapsed="false">
      <c r="A10" s="15" t="s">
        <v>95</v>
      </c>
      <c r="B10" s="15" t="s">
        <v>179</v>
      </c>
      <c r="C10" s="15" t="s">
        <v>180</v>
      </c>
      <c r="D10" s="15" t="s">
        <v>173</v>
      </c>
      <c r="E10" s="15" t="s">
        <v>174</v>
      </c>
    </row>
    <row r="11" customFormat="false" ht="15" hidden="false" customHeight="false" outlineLevel="0" collapsed="false">
      <c r="A11" s="15" t="s">
        <v>98</v>
      </c>
      <c r="B11" s="15" t="s">
        <v>175</v>
      </c>
      <c r="C11" s="15" t="s">
        <v>176</v>
      </c>
      <c r="D11" s="15" t="s">
        <v>173</v>
      </c>
      <c r="E11" s="15" t="s">
        <v>174</v>
      </c>
    </row>
    <row r="14" customFormat="false" ht="15" hidden="false" customHeight="false" outlineLevel="0" collapsed="false">
      <c r="A14" s="16" t="s">
        <v>181</v>
      </c>
      <c r="B14" s="16"/>
      <c r="C14" s="16"/>
      <c r="D14" s="16"/>
      <c r="E14" s="16"/>
    </row>
    <row r="15" customFormat="false" ht="15" hidden="false" customHeight="false" outlineLevel="0" collapsed="false">
      <c r="A15" s="17" t="s">
        <v>182</v>
      </c>
      <c r="B15" s="18" t="s">
        <v>183</v>
      </c>
    </row>
    <row r="16" customFormat="false" ht="15" hidden="false" customHeight="false" outlineLevel="0" collapsed="false">
      <c r="A16" s="17" t="s">
        <v>184</v>
      </c>
      <c r="B16" s="18" t="s">
        <v>185</v>
      </c>
    </row>
    <row r="17" customFormat="false" ht="15" hidden="false" customHeight="false" outlineLevel="0" collapsed="false">
      <c r="A17" s="17" t="s">
        <v>186</v>
      </c>
      <c r="B17" s="18" t="s">
        <v>187</v>
      </c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9" t="s">
        <v>188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189</v>
      </c>
    </row>
    <row r="4" customFormat="false" ht="15" hidden="false" customHeight="false" outlineLevel="0" collapsed="false">
      <c r="A4" s="2" t="s">
        <v>190</v>
      </c>
    </row>
    <row r="5" customFormat="false" ht="15" hidden="false" customHeight="false" outlineLevel="0" collapsed="false">
      <c r="A5" s="2" t="s">
        <v>191</v>
      </c>
    </row>
    <row r="6" customFormat="false" ht="15" hidden="false" customHeight="false" outlineLevel="0" collapsed="false">
      <c r="A6" s="2" t="s">
        <v>192</v>
      </c>
    </row>
    <row r="7" customFormat="false" ht="15" hidden="false" customHeight="false" outlineLevel="0" collapsed="false">
      <c r="A7" s="2" t="s">
        <v>193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194</v>
      </c>
    </row>
    <row r="10" customFormat="false" ht="15" hidden="false" customHeight="false" outlineLevel="0" collapsed="false">
      <c r="A10" s="2" t="s">
        <v>195</v>
      </c>
    </row>
    <row r="11" customFormat="false" ht="15" hidden="false" customHeight="false" outlineLevel="0" collapsed="false">
      <c r="A11" s="2" t="s">
        <v>196</v>
      </c>
    </row>
    <row r="12" customFormat="false" ht="15" hidden="false" customHeight="false" outlineLevel="0" collapsed="false">
      <c r="A12" s="2" t="s">
        <v>197</v>
      </c>
    </row>
    <row r="13" customFormat="false" ht="15" hidden="false" customHeight="false" outlineLevel="0" collapsed="false">
      <c r="A13" s="2" t="s">
        <v>198</v>
      </c>
    </row>
    <row r="14" customFormat="false" ht="15" hidden="false" customHeight="false" outlineLevel="0" collapsed="false">
      <c r="A14" s="2" t="s">
        <v>199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200</v>
      </c>
    </row>
    <row r="17" customFormat="false" ht="15" hidden="false" customHeight="false" outlineLevel="0" collapsed="false">
      <c r="A17" s="2" t="s">
        <v>201</v>
      </c>
    </row>
    <row r="18" customFormat="false" ht="15" hidden="false" customHeight="false" outlineLevel="0" collapsed="false">
      <c r="A18" s="2" t="s">
        <v>202</v>
      </c>
    </row>
    <row r="19" customFormat="false" ht="15" hidden="false" customHeight="false" outlineLevel="0" collapsed="false">
      <c r="A19" s="2" t="s">
        <v>203</v>
      </c>
    </row>
    <row r="20" customFormat="false" ht="15" hidden="false" customHeight="false" outlineLevel="0" collapsed="false">
      <c r="A20" s="2" t="s">
        <v>204</v>
      </c>
    </row>
    <row r="21" customFormat="false" ht="15" hidden="false" customHeight="false" outlineLevel="0" collapsed="false">
      <c r="A21" s="2" t="s">
        <v>205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206</v>
      </c>
    </row>
    <row r="24" customFormat="false" ht="15" hidden="false" customHeight="false" outlineLevel="0" collapsed="false">
      <c r="A24" s="2" t="s">
        <v>207</v>
      </c>
    </row>
    <row r="25" customFormat="false" ht="15" hidden="false" customHeight="false" outlineLevel="0" collapsed="false">
      <c r="A25" s="2" t="s">
        <v>208</v>
      </c>
    </row>
    <row r="26" customFormat="false" ht="15" hidden="false" customHeight="false" outlineLevel="0" collapsed="false">
      <c r="A26" s="2" t="s">
        <v>209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210</v>
      </c>
    </row>
    <row r="29" customFormat="false" ht="15" hidden="false" customHeight="false" outlineLevel="0" collapsed="false">
      <c r="A29" s="2" t="s">
        <v>211</v>
      </c>
    </row>
    <row r="30" customFormat="false" ht="15" hidden="false" customHeight="false" outlineLevel="0" collapsed="false">
      <c r="A30" s="2" t="s">
        <v>212</v>
      </c>
    </row>
    <row r="31" customFormat="false" ht="15" hidden="false" customHeight="false" outlineLevel="0" collapsed="false">
      <c r="A31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2026-09-16T10:52:26Z</dcterms:created>
  <dc:creator>openpyxl</dc:creator>
  <dc:description/>
  <dc:language>en-US</dc:language>
  <cp:lastModifiedBy/>
  <dcterms:modified xsi:type="dcterms:W3CDTF">2026-09-16T10:52:26Z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